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-tarasova-ei\Downloads\"/>
    </mc:Choice>
  </mc:AlternateContent>
  <xr:revisionPtr revIDLastSave="0" documentId="13_ncr:1_{598E0142-820A-43D8-8875-76F3E1B7D3C0}" xr6:coauthVersionLast="36" xr6:coauthVersionMax="36" xr10:uidLastSave="{00000000-0000-0000-0000-000000000000}"/>
  <bookViews>
    <workbookView xWindow="0" yWindow="0" windowWidth="19200" windowHeight="8010" xr2:uid="{8926CDC7-8EED-4F9E-890F-DB8BF725D3A1}"/>
  </bookViews>
  <sheets>
    <sheet name="Лист1" sheetId="1" r:id="rId1"/>
  </sheets>
  <definedNames>
    <definedName name="_xlnm._FilterDatabase" localSheetId="0" hidden="1">Лист1!$A$1:$I$41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F3" i="1" s="1"/>
  <c r="I3" i="1" s="1"/>
  <c r="E4" i="1"/>
  <c r="F4" i="1" s="1"/>
  <c r="I4" i="1" s="1"/>
  <c r="E5" i="1"/>
  <c r="F5" i="1" s="1"/>
  <c r="I5" i="1" s="1"/>
  <c r="E6" i="1"/>
  <c r="F6" i="1" s="1"/>
  <c r="I6" i="1" s="1"/>
  <c r="E7" i="1"/>
  <c r="F7" i="1" s="1"/>
  <c r="I7" i="1" s="1"/>
  <c r="E8" i="1"/>
  <c r="F8" i="1" s="1"/>
  <c r="I8" i="1" s="1"/>
  <c r="E9" i="1"/>
  <c r="F9" i="1" s="1"/>
  <c r="I9" i="1" s="1"/>
  <c r="E10" i="1"/>
  <c r="F10" i="1" s="1"/>
  <c r="I10" i="1" s="1"/>
  <c r="E11" i="1"/>
  <c r="F11" i="1" s="1"/>
  <c r="I11" i="1" s="1"/>
  <c r="E12" i="1"/>
  <c r="F12" i="1" s="1"/>
  <c r="I12" i="1" s="1"/>
  <c r="E13" i="1"/>
  <c r="F13" i="1" s="1"/>
  <c r="I13" i="1" s="1"/>
  <c r="E14" i="1"/>
  <c r="F14" i="1" s="1"/>
  <c r="I14" i="1" s="1"/>
  <c r="E15" i="1"/>
  <c r="F15" i="1" s="1"/>
  <c r="I15" i="1" s="1"/>
  <c r="E16" i="1"/>
  <c r="F16" i="1" s="1"/>
  <c r="I16" i="1" s="1"/>
  <c r="E17" i="1"/>
  <c r="F17" i="1" s="1"/>
  <c r="I17" i="1" s="1"/>
  <c r="E18" i="1"/>
  <c r="F18" i="1" s="1"/>
  <c r="I18" i="1" s="1"/>
  <c r="E19" i="1"/>
  <c r="F19" i="1" s="1"/>
  <c r="I19" i="1" s="1"/>
  <c r="E20" i="1"/>
  <c r="F20" i="1" s="1"/>
  <c r="I20" i="1" s="1"/>
  <c r="E21" i="1"/>
  <c r="F21" i="1" s="1"/>
  <c r="I21" i="1" s="1"/>
  <c r="E22" i="1"/>
  <c r="F22" i="1" s="1"/>
  <c r="I22" i="1" s="1"/>
  <c r="E23" i="1"/>
  <c r="F23" i="1" s="1"/>
  <c r="I23" i="1" s="1"/>
  <c r="E24" i="1"/>
  <c r="F24" i="1" s="1"/>
  <c r="I24" i="1" s="1"/>
  <c r="E25" i="1"/>
  <c r="F25" i="1" s="1"/>
  <c r="I25" i="1" s="1"/>
  <c r="E26" i="1"/>
  <c r="F26" i="1" s="1"/>
  <c r="I26" i="1" s="1"/>
  <c r="E27" i="1"/>
  <c r="F27" i="1" s="1"/>
  <c r="I27" i="1" s="1"/>
  <c r="E28" i="1"/>
  <c r="F28" i="1" s="1"/>
  <c r="I28" i="1" s="1"/>
  <c r="E29" i="1"/>
  <c r="F29" i="1" s="1"/>
  <c r="I29" i="1" s="1"/>
  <c r="E30" i="1"/>
  <c r="F30" i="1" s="1"/>
  <c r="I30" i="1" s="1"/>
  <c r="E31" i="1"/>
  <c r="F31" i="1" s="1"/>
  <c r="I31" i="1" s="1"/>
  <c r="E32" i="1"/>
  <c r="F32" i="1" s="1"/>
  <c r="I32" i="1" s="1"/>
  <c r="E33" i="1"/>
  <c r="F33" i="1" s="1"/>
  <c r="I33" i="1" s="1"/>
  <c r="E34" i="1"/>
  <c r="F34" i="1" s="1"/>
  <c r="I34" i="1" s="1"/>
  <c r="E35" i="1"/>
  <c r="F35" i="1" s="1"/>
  <c r="I35" i="1" s="1"/>
  <c r="E36" i="1"/>
  <c r="F36" i="1" s="1"/>
  <c r="I36" i="1" s="1"/>
  <c r="E37" i="1"/>
  <c r="F37" i="1" s="1"/>
  <c r="I37" i="1" s="1"/>
  <c r="E38" i="1"/>
  <c r="F38" i="1" s="1"/>
  <c r="I38" i="1" s="1"/>
  <c r="E39" i="1"/>
  <c r="F39" i="1" s="1"/>
  <c r="I39" i="1" s="1"/>
  <c r="E40" i="1"/>
  <c r="F40" i="1" s="1"/>
  <c r="I40" i="1" s="1"/>
  <c r="E41" i="1"/>
  <c r="F41" i="1" s="1"/>
  <c r="I41" i="1" s="1"/>
  <c r="E2" i="1"/>
  <c r="F2" i="1" s="1"/>
  <c r="I2" i="1" s="1"/>
</calcChain>
</file>

<file path=xl/sharedStrings.xml><?xml version="1.0" encoding="utf-8"?>
<sst xmlns="http://schemas.openxmlformats.org/spreadsheetml/2006/main" count="89" uniqueCount="54">
  <si>
    <t>№ навыка</t>
  </si>
  <si>
    <t>Домен</t>
  </si>
  <si>
    <t>Навык</t>
  </si>
  <si>
    <t>Уровень владения (отрицательное знчение - чем ниже средний уровень владения, тем, выше приоритет)</t>
  </si>
  <si>
    <t>Текущая востребованность (доля респондентов оценивших навык как очень востребован и скорее востребован)</t>
  </si>
  <si>
    <t>DSQ norm</t>
  </si>
  <si>
    <t>1. Стратегия и инновации</t>
  </si>
  <si>
    <t>Анализ рыночных трендов, конкурентов и изменений в отрасли</t>
  </si>
  <si>
    <t>Стратегическое планирование и прогнозирование</t>
  </si>
  <si>
    <t>Принятие решений в условиях неопределенности</t>
  </si>
  <si>
    <t>Использование ИИ-инструментов в управлении</t>
  </si>
  <si>
    <t>Внедрение актуальных инноваций в рабочие процессы</t>
  </si>
  <si>
    <t>Выстраивание процессов с учетом ИИ и кибербезопасности</t>
  </si>
  <si>
    <t>Оценка потенциала и рисков инициатив</t>
  </si>
  <si>
    <t>2. Управление проектами и процессами</t>
  </si>
  <si>
    <t>Постановка операционных целей и КПЭ</t>
  </si>
  <si>
    <t>Расстановка приоритетов в ежедневной работе</t>
  </si>
  <si>
    <t>Управление загрузкой и временем сотрудников</t>
  </si>
  <si>
    <t>Критический анализ информации, необходимой для принятия решений</t>
  </si>
  <si>
    <t>Улучшение и оптимизация процессов</t>
  </si>
  <si>
    <t>Генерация новых идей и решений</t>
  </si>
  <si>
    <t>Эффективный контроль исполнения задач</t>
  </si>
  <si>
    <t>Интеграция ИИ-агентов в рабочие процессы</t>
  </si>
  <si>
    <t>3. Личная эффективность</t>
  </si>
  <si>
    <t>Планирование собственной нагрузки и времени</t>
  </si>
  <si>
    <t>Управление собственным эмоциональным состоянием</t>
  </si>
  <si>
    <t>Управление концентрацией и фокусировкой</t>
  </si>
  <si>
    <t>Оперативная коррекция поведения в ответ на изменения</t>
  </si>
  <si>
    <t>Регулярное развитие собственных знаний и компетенций</t>
  </si>
  <si>
    <t>Самодисциплина</t>
  </si>
  <si>
    <t>Использование ИИ/LLM в рабочих задачах</t>
  </si>
  <si>
    <t>Организация информации, данных и знаний</t>
  </si>
  <si>
    <t>4. Взаимодействие</t>
  </si>
  <si>
    <t>Создание и развитие сети профессиональных контактов</t>
  </si>
  <si>
    <t>Принятие решений с учетом ожиданий и интересов другой стороны</t>
  </si>
  <si>
    <t>Убеждение и аргументация своей позиции</t>
  </si>
  <si>
    <t>Конструктивная обратная связь</t>
  </si>
  <si>
    <t>Эмоциональная поддержка коллег и подчиненных</t>
  </si>
  <si>
    <t>Уважительная и конструктивная коммуникация</t>
  </si>
  <si>
    <t>Понятная презентация идей, планов и результатов</t>
  </si>
  <si>
    <t>Эффективное урегулирование конфликтов</t>
  </si>
  <si>
    <t>5. Работа с командой</t>
  </si>
  <si>
    <t>Выбор и привлечение сильных кандидатов в команду</t>
  </si>
  <si>
    <t>Выявление индивидуальных мотиваций сотрудников</t>
  </si>
  <si>
    <t>Выявление сильных и слабых сторон сотрудников</t>
  </si>
  <si>
    <t>Распределение ролей и зон ответственности в команде</t>
  </si>
  <si>
    <t>Выявление высокопотенциальных сотрудников</t>
  </si>
  <si>
    <t>Встраивание обучения в рабочие процессы</t>
  </si>
  <si>
    <t>Наставничество и рекомендации по развитию</t>
  </si>
  <si>
    <t>Своевременное информирование сотрудников и передача контекста</t>
  </si>
  <si>
    <t>Эффективное и этичное увольнение сотрудников</t>
  </si>
  <si>
    <t>Уровень владения_факт</t>
  </si>
  <si>
    <t>Уровень владения_norm</t>
  </si>
  <si>
    <t>Рейтинг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</si>
</sst>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9" fontId="0" fillId="0" borderId="0" xfId="1" applyFont="1"/>
    <xf numFmtId="0" fontId="0" fillId="2" borderId="0" xfId="0" applyFill="1"/>
    <xf numFmtId="0" fontId="0" fillId="0" borderId="0" xfId="1" applyNumberFormat="1" applyFont="1"/>
    <xf numFmtId="9" fontId="0" fillId="0" borderId="0" xfId="0" applyNumberFormat="1"/>
    <xf numFmtId="0" fontId="0" fillId="0" borderId="0" xfId="0" applyFill="1"/>
    <xf numFmtId="9" fontId="0" fillId="0" borderId="0" xfId="0" applyNumberFormat="1" applyFill="1"/>
    <xf numFmtId="9" fontId="0" fillId="0" borderId="0" xfId="1" applyFont="1" applyFill="1"/>
    <xf numFmtId="0" fontId="2" fillId="0" borderId="0" xfId="0" applyFont="1"/>
    <xf numFmtId="0" fontId="2" fillId="2" borderId="0" xfId="0" applyFont="1" applyFill="1"/>
    <xf numFmtId="0" fontId="2" fillId="0" borderId="0" xfId="0" applyFont="1" applyFill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9DAA-D7F2-483C-BCD4-960298074B1E}">
  <dimension ref="A1:K41"/>
  <sheetViews>
    <sheetView tabSelected="1" workbookViewId="0">
      <selection activeCell="K14" sqref="K14"/>
    </sheetView>
  </sheetViews>
  <sheetFormatPr defaultRowHeight="14.5" x14ac:dyDescent="0.35"/>
  <cols>
    <col min="4" max="4" width="8.7265625" style="2"/>
    <col min="5" max="6" width="8.7265625" style="5"/>
  </cols>
  <sheetData>
    <row r="1" spans="1:11" x14ac:dyDescent="0.35">
      <c r="A1" s="8" t="s">
        <v>0</v>
      </c>
      <c r="B1" s="8" t="s">
        <v>1</v>
      </c>
      <c r="C1" s="8" t="s">
        <v>2</v>
      </c>
      <c r="D1" s="9" t="s">
        <v>51</v>
      </c>
      <c r="E1" s="10" t="s">
        <v>52</v>
      </c>
      <c r="F1" s="10" t="s">
        <v>3</v>
      </c>
      <c r="G1" s="8" t="s">
        <v>4</v>
      </c>
      <c r="H1" s="8" t="s">
        <v>5</v>
      </c>
      <c r="I1" s="8" t="s">
        <v>53</v>
      </c>
    </row>
    <row r="2" spans="1:11" x14ac:dyDescent="0.35">
      <c r="A2">
        <v>1</v>
      </c>
      <c r="B2" t="s">
        <v>6</v>
      </c>
      <c r="C2" t="s">
        <v>7</v>
      </c>
      <c r="E2" s="6">
        <f>D2/3</f>
        <v>0</v>
      </c>
      <c r="F2" s="7">
        <f>1-E2</f>
        <v>1</v>
      </c>
      <c r="G2" s="1">
        <v>0.60699999999999998</v>
      </c>
      <c r="H2" s="1">
        <v>0.6890243902439025</v>
      </c>
      <c r="I2" s="1">
        <f>IF(COUNTIF(F2:H2,0)&gt;0,0,GEOMEAN(F2:H2))</f>
        <v>0.74783840108499855</v>
      </c>
      <c r="J2" s="3"/>
      <c r="K2" s="4"/>
    </row>
    <row r="3" spans="1:11" x14ac:dyDescent="0.35">
      <c r="A3">
        <v>2</v>
      </c>
      <c r="B3" t="s">
        <v>6</v>
      </c>
      <c r="C3" t="s">
        <v>8</v>
      </c>
      <c r="E3" s="6">
        <f>D3/3</f>
        <v>0</v>
      </c>
      <c r="F3" s="7">
        <f>1-E3</f>
        <v>1</v>
      </c>
      <c r="G3" s="1">
        <v>0.58199999999999996</v>
      </c>
      <c r="H3" s="1">
        <v>0.63381995133819946</v>
      </c>
      <c r="I3" s="1">
        <f>IF(COUNTIF(F3:H3,0)&gt;0,0,GEOMEAN(F3:H3))</f>
        <v>0.71718241141161287</v>
      </c>
      <c r="J3" s="3"/>
      <c r="K3" s="4"/>
    </row>
    <row r="4" spans="1:11" x14ac:dyDescent="0.35">
      <c r="A4">
        <v>3</v>
      </c>
      <c r="B4" t="s">
        <v>6</v>
      </c>
      <c r="C4" t="s">
        <v>9</v>
      </c>
      <c r="E4" s="6">
        <f>D4/3</f>
        <v>0</v>
      </c>
      <c r="F4" s="7">
        <f>1-E4</f>
        <v>1</v>
      </c>
      <c r="G4" s="1">
        <v>0.68899999999999995</v>
      </c>
      <c r="H4" s="1">
        <v>0.71097560975609753</v>
      </c>
      <c r="I4" s="1">
        <f>IF(COUNTIF(F4:H4,0)&gt;0,0,GEOMEAN(F4:H4))</f>
        <v>0.78829960345170713</v>
      </c>
    </row>
    <row r="5" spans="1:11" x14ac:dyDescent="0.35">
      <c r="A5">
        <v>4</v>
      </c>
      <c r="B5" t="s">
        <v>6</v>
      </c>
      <c r="C5" t="s">
        <v>10</v>
      </c>
      <c r="E5" s="6">
        <f>D5/3</f>
        <v>0</v>
      </c>
      <c r="F5" s="7">
        <f>1-E5</f>
        <v>1</v>
      </c>
      <c r="G5" s="1">
        <v>0.52300000000000002</v>
      </c>
      <c r="H5" s="1">
        <v>0.71585365853658556</v>
      </c>
      <c r="I5" s="1">
        <f>IF(COUNTIF(F5:H5,0)&gt;0,0,GEOMEAN(F5:H5))</f>
        <v>0.72073450213006462</v>
      </c>
    </row>
    <row r="6" spans="1:11" x14ac:dyDescent="0.35">
      <c r="A6">
        <v>5</v>
      </c>
      <c r="B6" t="s">
        <v>6</v>
      </c>
      <c r="C6" t="s">
        <v>11</v>
      </c>
      <c r="E6" s="6">
        <f>D6/3</f>
        <v>0</v>
      </c>
      <c r="F6" s="7">
        <f>1-E6</f>
        <v>1</v>
      </c>
      <c r="G6" s="1">
        <v>0.58899999999999997</v>
      </c>
      <c r="H6" s="1">
        <v>0.68092909535452351</v>
      </c>
      <c r="I6" s="1">
        <f>IF(COUNTIF(F6:H6,0)&gt;0,0,GEOMEAN(F6:H6))</f>
        <v>0.7374610070208929</v>
      </c>
    </row>
    <row r="7" spans="1:11" x14ac:dyDescent="0.35">
      <c r="A7">
        <v>6</v>
      </c>
      <c r="B7" t="s">
        <v>6</v>
      </c>
      <c r="C7" t="s">
        <v>12</v>
      </c>
      <c r="E7" s="6">
        <f>D7/3</f>
        <v>0</v>
      </c>
      <c r="F7" s="7">
        <f>1-E7</f>
        <v>1</v>
      </c>
      <c r="G7" s="1">
        <v>0.58099999999999996</v>
      </c>
      <c r="H7" s="1">
        <v>0.72004889975550146</v>
      </c>
      <c r="I7" s="1">
        <f>IF(COUNTIF(F7:H7,0)&gt;0,0,GEOMEAN(F7:H7))</f>
        <v>0.74790431895351983</v>
      </c>
    </row>
    <row r="8" spans="1:11" x14ac:dyDescent="0.35">
      <c r="A8">
        <v>7</v>
      </c>
      <c r="B8" t="s">
        <v>6</v>
      </c>
      <c r="C8" t="s">
        <v>13</v>
      </c>
      <c r="E8" s="6">
        <f>D8/3</f>
        <v>0</v>
      </c>
      <c r="F8" s="7">
        <f>1-E8</f>
        <v>1</v>
      </c>
      <c r="G8" s="1">
        <v>0.65</v>
      </c>
      <c r="H8" s="1">
        <v>0.68414634146341446</v>
      </c>
      <c r="I8" s="1">
        <f>IF(COUNTIF(F8:H8,0)&gt;0,0,GEOMEAN(F8:H8))</f>
        <v>0.76328627845863073</v>
      </c>
    </row>
    <row r="9" spans="1:11" x14ac:dyDescent="0.35">
      <c r="A9">
        <v>8</v>
      </c>
      <c r="B9" t="s">
        <v>14</v>
      </c>
      <c r="C9" t="s">
        <v>15</v>
      </c>
      <c r="E9" s="6">
        <f>D9/3</f>
        <v>0</v>
      </c>
      <c r="F9" s="7">
        <f>1-E9</f>
        <v>1</v>
      </c>
      <c r="G9" s="1">
        <v>0.66500000000000004</v>
      </c>
      <c r="H9" s="1">
        <v>0.5695121951219515</v>
      </c>
      <c r="I9" s="1">
        <f>IF(COUNTIF(F9:H9,0)&gt;0,0,GEOMEAN(F9:H9))</f>
        <v>0.72350503505083907</v>
      </c>
    </row>
    <row r="10" spans="1:11" x14ac:dyDescent="0.35">
      <c r="A10">
        <v>9</v>
      </c>
      <c r="B10" t="s">
        <v>14</v>
      </c>
      <c r="C10" t="s">
        <v>16</v>
      </c>
      <c r="E10" s="6">
        <f>D10/3</f>
        <v>0</v>
      </c>
      <c r="F10" s="7">
        <f>1-E10</f>
        <v>1</v>
      </c>
      <c r="G10" s="1">
        <v>0.70099999999999996</v>
      </c>
      <c r="H10" s="1">
        <v>0.58150851581508545</v>
      </c>
      <c r="I10" s="1">
        <f>IF(COUNTIF(F10:H10,0)&gt;0,0,GEOMEAN(F10:H10))</f>
        <v>0.74146621251803824</v>
      </c>
    </row>
    <row r="11" spans="1:11" x14ac:dyDescent="0.35">
      <c r="A11">
        <v>10</v>
      </c>
      <c r="B11" t="s">
        <v>14</v>
      </c>
      <c r="C11" t="s">
        <v>17</v>
      </c>
      <c r="E11" s="6">
        <f>D11/3</f>
        <v>0</v>
      </c>
      <c r="F11" s="7">
        <f>1-E11</f>
        <v>1</v>
      </c>
      <c r="G11" s="1">
        <v>0.59299999999999997</v>
      </c>
      <c r="H11" s="1">
        <v>0.63170731707317052</v>
      </c>
      <c r="I11" s="1">
        <f>IF(COUNTIF(F11:H11,0)&gt;0,0,GEOMEAN(F11:H11))</f>
        <v>0.72086985853513796</v>
      </c>
    </row>
    <row r="12" spans="1:11" x14ac:dyDescent="0.35">
      <c r="A12">
        <v>11</v>
      </c>
      <c r="B12" t="s">
        <v>14</v>
      </c>
      <c r="C12" t="s">
        <v>18</v>
      </c>
      <c r="E12" s="6">
        <f>D12/3</f>
        <v>0</v>
      </c>
      <c r="F12" s="7">
        <f>1-E12</f>
        <v>1</v>
      </c>
      <c r="G12" s="1">
        <v>0.68200000000000005</v>
      </c>
      <c r="H12" s="1">
        <v>0.68414634146341458</v>
      </c>
      <c r="I12" s="1">
        <f>IF(COUNTIF(F12:H12,0)&gt;0,0,GEOMEAN(F12:H12))</f>
        <v>0.77561189545979625</v>
      </c>
    </row>
    <row r="13" spans="1:11" x14ac:dyDescent="0.35">
      <c r="A13">
        <v>12</v>
      </c>
      <c r="B13" t="s">
        <v>14</v>
      </c>
      <c r="C13" t="s">
        <v>19</v>
      </c>
      <c r="E13" s="6">
        <f>D13/3</f>
        <v>0</v>
      </c>
      <c r="F13" s="7">
        <f>1-E13</f>
        <v>1</v>
      </c>
      <c r="G13" s="1">
        <v>0.67200000000000004</v>
      </c>
      <c r="H13" s="1">
        <v>0.6934306569343065</v>
      </c>
      <c r="I13" s="1">
        <f>IF(COUNTIF(F13:H13,0)&gt;0,0,GEOMEAN(F13:H13))</f>
        <v>0.77527795868552585</v>
      </c>
    </row>
    <row r="14" spans="1:11" x14ac:dyDescent="0.35">
      <c r="A14">
        <v>13</v>
      </c>
      <c r="B14" t="s">
        <v>14</v>
      </c>
      <c r="C14" t="s">
        <v>20</v>
      </c>
      <c r="E14" s="6">
        <f>D14/3</f>
        <v>0</v>
      </c>
      <c r="F14" s="7">
        <f>1-E14</f>
        <v>1</v>
      </c>
      <c r="G14" s="1">
        <v>0.65100000000000002</v>
      </c>
      <c r="H14" s="1">
        <v>0.63503649635036497</v>
      </c>
      <c r="I14" s="1">
        <f>IF(COUNTIF(F14:H14,0)&gt;0,0,GEOMEAN(F14:H14))</f>
        <v>0.74494902831250109</v>
      </c>
    </row>
    <row r="15" spans="1:11" x14ac:dyDescent="0.35">
      <c r="A15">
        <v>14</v>
      </c>
      <c r="B15" t="s">
        <v>14</v>
      </c>
      <c r="C15" t="s">
        <v>21</v>
      </c>
      <c r="E15" s="6">
        <f>D15/3</f>
        <v>0</v>
      </c>
      <c r="F15" s="7">
        <f>1-E15</f>
        <v>1</v>
      </c>
      <c r="G15" s="1">
        <v>0.68899999999999995</v>
      </c>
      <c r="H15" s="1">
        <v>0.56585365853658554</v>
      </c>
      <c r="I15" s="1">
        <f>IF(COUNTIF(F15:H15,0)&gt;0,0,GEOMEAN(F15:H15))</f>
        <v>0.73053514943109277</v>
      </c>
    </row>
    <row r="16" spans="1:11" x14ac:dyDescent="0.35">
      <c r="A16">
        <v>15</v>
      </c>
      <c r="B16" t="s">
        <v>14</v>
      </c>
      <c r="C16" t="s">
        <v>22</v>
      </c>
      <c r="E16" s="6">
        <f>D16/3</f>
        <v>0</v>
      </c>
      <c r="F16" s="7">
        <f>1-E16</f>
        <v>1</v>
      </c>
      <c r="G16" s="1">
        <v>0.55600000000000005</v>
      </c>
      <c r="H16" s="1">
        <v>0.73414634146341495</v>
      </c>
      <c r="I16" s="1">
        <f>IF(COUNTIF(F16:H16,0)&gt;0,0,GEOMEAN(F16:H16))</f>
        <v>0.74179825976369795</v>
      </c>
    </row>
    <row r="17" spans="1:9" x14ac:dyDescent="0.35">
      <c r="A17">
        <v>16</v>
      </c>
      <c r="B17" t="s">
        <v>23</v>
      </c>
      <c r="C17" t="s">
        <v>24</v>
      </c>
      <c r="E17" s="6">
        <f>D17/3</f>
        <v>0</v>
      </c>
      <c r="F17" s="7">
        <f>1-E17</f>
        <v>1</v>
      </c>
      <c r="G17" s="1">
        <v>0.60599999999999998</v>
      </c>
      <c r="H17" s="1">
        <v>0.60853658536585398</v>
      </c>
      <c r="I17" s="1">
        <f>IF(COUNTIF(F17:H17,0)&gt;0,0,GEOMEAN(F17:H17))</f>
        <v>0.71711109048215438</v>
      </c>
    </row>
    <row r="18" spans="1:9" x14ac:dyDescent="0.35">
      <c r="A18">
        <v>17</v>
      </c>
      <c r="B18" t="s">
        <v>23</v>
      </c>
      <c r="C18" t="s">
        <v>25</v>
      </c>
      <c r="E18" s="6">
        <f>D18/3</f>
        <v>0</v>
      </c>
      <c r="F18" s="7">
        <f>1-E18</f>
        <v>1</v>
      </c>
      <c r="G18" s="1">
        <v>0.54100000000000004</v>
      </c>
      <c r="H18" s="1">
        <v>0.6213235294117645</v>
      </c>
      <c r="I18" s="1">
        <f>IF(COUNTIF(F18:H18,0)&gt;0,0,GEOMEAN(F18:H18))</f>
        <v>0.6952991341487601</v>
      </c>
    </row>
    <row r="19" spans="1:9" x14ac:dyDescent="0.35">
      <c r="A19">
        <v>18</v>
      </c>
      <c r="B19" t="s">
        <v>23</v>
      </c>
      <c r="C19" t="s">
        <v>26</v>
      </c>
      <c r="E19" s="6">
        <f>D19/3</f>
        <v>0</v>
      </c>
      <c r="F19" s="7">
        <f>1-E19</f>
        <v>1</v>
      </c>
      <c r="G19" s="1">
        <v>0.56299999999999994</v>
      </c>
      <c r="H19" s="1">
        <v>0.56204379562043805</v>
      </c>
      <c r="I19" s="1">
        <f>IF(COUNTIF(F19:H19,0)&gt;0,0,GEOMEAN(F19:H19))</f>
        <v>0.68143774298469251</v>
      </c>
    </row>
    <row r="20" spans="1:9" x14ac:dyDescent="0.35">
      <c r="A20">
        <v>19</v>
      </c>
      <c r="B20" t="s">
        <v>23</v>
      </c>
      <c r="C20" t="s">
        <v>27</v>
      </c>
      <c r="E20" s="6">
        <f>D20/3</f>
        <v>0</v>
      </c>
      <c r="F20" s="7">
        <f>1-E20</f>
        <v>1</v>
      </c>
      <c r="G20" s="1">
        <v>0.65500000000000003</v>
      </c>
      <c r="H20" s="1">
        <v>0.67481662591687042</v>
      </c>
      <c r="I20" s="1">
        <f>IF(COUNTIF(F20:H20,0)&gt;0,0,GEOMEAN(F20:H20))</f>
        <v>0.76174396942087552</v>
      </c>
    </row>
    <row r="21" spans="1:9" x14ac:dyDescent="0.35">
      <c r="A21">
        <v>20</v>
      </c>
      <c r="B21" t="s">
        <v>23</v>
      </c>
      <c r="C21" t="s">
        <v>28</v>
      </c>
      <c r="E21" s="6">
        <f>D21/3</f>
        <v>0</v>
      </c>
      <c r="F21" s="7">
        <f>1-E21</f>
        <v>1</v>
      </c>
      <c r="G21" s="1">
        <v>0.64</v>
      </c>
      <c r="H21" s="1">
        <v>0.66053921568627449</v>
      </c>
      <c r="I21" s="1">
        <f>IF(COUNTIF(F21:H21,0)&gt;0,0,GEOMEAN(F21:H21))</f>
        <v>0.75051525958188769</v>
      </c>
    </row>
    <row r="22" spans="1:9" x14ac:dyDescent="0.35">
      <c r="A22">
        <v>21</v>
      </c>
      <c r="B22" t="s">
        <v>23</v>
      </c>
      <c r="C22" t="s">
        <v>29</v>
      </c>
      <c r="E22" s="6">
        <f>D22/3</f>
        <v>0</v>
      </c>
      <c r="F22" s="7">
        <f>1-E22</f>
        <v>1</v>
      </c>
      <c r="G22" s="1">
        <v>0.63200000000000001</v>
      </c>
      <c r="H22" s="1">
        <v>0.56447688564476906</v>
      </c>
      <c r="I22" s="1">
        <f>IF(COUNTIF(F22:H22,0)&gt;0,0,GEOMEAN(F22:H22))</f>
        <v>0.70923106049155082</v>
      </c>
    </row>
    <row r="23" spans="1:9" x14ac:dyDescent="0.35">
      <c r="A23">
        <v>22</v>
      </c>
      <c r="B23" t="s">
        <v>23</v>
      </c>
      <c r="C23" t="s">
        <v>30</v>
      </c>
      <c r="E23" s="6">
        <f>D23/3</f>
        <v>0</v>
      </c>
      <c r="F23" s="7">
        <f>1-E23</f>
        <v>1</v>
      </c>
      <c r="G23" s="1">
        <v>0.58199999999999996</v>
      </c>
      <c r="H23" s="1">
        <v>0.70316301703163053</v>
      </c>
      <c r="I23" s="1">
        <f>IF(COUNTIF(F23:H23,0)&gt;0,0,GEOMEAN(F23:H23))</f>
        <v>0.74243710481612479</v>
      </c>
    </row>
    <row r="24" spans="1:9" x14ac:dyDescent="0.35">
      <c r="A24">
        <v>23</v>
      </c>
      <c r="B24" t="s">
        <v>23</v>
      </c>
      <c r="C24" t="s">
        <v>31</v>
      </c>
      <c r="E24" s="6">
        <f>D24/3</f>
        <v>0</v>
      </c>
      <c r="F24" s="7">
        <f>1-E24</f>
        <v>1</v>
      </c>
      <c r="G24" s="1">
        <v>0.65300000000000002</v>
      </c>
      <c r="H24" s="1">
        <v>0.69390243902439053</v>
      </c>
      <c r="I24" s="1">
        <f>IF(COUNTIF(F24:H24,0)&gt;0,0,GEOMEAN(F24:H24))</f>
        <v>0.76807541660908907</v>
      </c>
    </row>
    <row r="25" spans="1:9" x14ac:dyDescent="0.35">
      <c r="A25">
        <v>24</v>
      </c>
      <c r="B25" t="s">
        <v>32</v>
      </c>
      <c r="C25" t="s">
        <v>33</v>
      </c>
      <c r="E25" s="6">
        <f>D25/3</f>
        <v>0</v>
      </c>
      <c r="F25" s="7">
        <f>1-E25</f>
        <v>1</v>
      </c>
      <c r="G25" s="1">
        <v>0.66700000000000004</v>
      </c>
      <c r="H25" s="1">
        <v>0.62073170731707306</v>
      </c>
      <c r="I25" s="1">
        <f>IF(COUNTIF(F25:H25,0)&gt;0,0,GEOMEAN(F25:H25))</f>
        <v>0.74532082260876809</v>
      </c>
    </row>
    <row r="26" spans="1:9" x14ac:dyDescent="0.35">
      <c r="A26">
        <v>25</v>
      </c>
      <c r="B26" t="s">
        <v>32</v>
      </c>
      <c r="C26" t="s">
        <v>34</v>
      </c>
      <c r="E26" s="6">
        <f>D26/3</f>
        <v>0</v>
      </c>
      <c r="F26" s="7">
        <f>1-E26</f>
        <v>1</v>
      </c>
      <c r="G26" s="1">
        <v>0.58899999999999997</v>
      </c>
      <c r="H26" s="1">
        <v>0.60146699266503645</v>
      </c>
      <c r="I26" s="1">
        <f>IF(COUNTIF(F26:H26,0)&gt;0,0,GEOMEAN(F26:H26))</f>
        <v>0.70758024282159593</v>
      </c>
    </row>
    <row r="27" spans="1:9" x14ac:dyDescent="0.35">
      <c r="A27">
        <v>26</v>
      </c>
      <c r="B27" t="s">
        <v>32</v>
      </c>
      <c r="C27" t="s">
        <v>35</v>
      </c>
      <c r="E27" s="6">
        <f>D27/3</f>
        <v>0</v>
      </c>
      <c r="F27" s="7">
        <f>1-E27</f>
        <v>1</v>
      </c>
      <c r="G27" s="1">
        <v>0.65800000000000003</v>
      </c>
      <c r="H27" s="1">
        <v>0.60757946210268954</v>
      </c>
      <c r="I27" s="1">
        <f>IF(COUNTIF(F27:H27,0)&gt;0,0,GEOMEAN(F27:H27))</f>
        <v>0.73667566909587534</v>
      </c>
    </row>
    <row r="28" spans="1:9" x14ac:dyDescent="0.35">
      <c r="A28">
        <v>27</v>
      </c>
      <c r="B28" t="s">
        <v>32</v>
      </c>
      <c r="C28" t="s">
        <v>36</v>
      </c>
      <c r="E28" s="6">
        <f>D28/3</f>
        <v>0</v>
      </c>
      <c r="F28" s="7">
        <f>1-E28</f>
        <v>1</v>
      </c>
      <c r="G28" s="1">
        <v>0.57499999999999996</v>
      </c>
      <c r="H28" s="1">
        <v>0.60906862745098045</v>
      </c>
      <c r="I28" s="1">
        <f>IF(COUNTIF(F28:H28,0)&gt;0,0,GEOMEAN(F28:H28))</f>
        <v>0.70487378374208165</v>
      </c>
    </row>
    <row r="29" spans="1:9" x14ac:dyDescent="0.35">
      <c r="A29">
        <v>28</v>
      </c>
      <c r="B29" t="s">
        <v>32</v>
      </c>
      <c r="C29" t="s">
        <v>37</v>
      </c>
      <c r="E29" s="6">
        <f>D29/3</f>
        <v>0</v>
      </c>
      <c r="F29" s="7">
        <f>1-E29</f>
        <v>1</v>
      </c>
      <c r="G29" s="1">
        <v>0.56399999999999995</v>
      </c>
      <c r="H29" s="1">
        <v>0.58414634146341449</v>
      </c>
      <c r="I29" s="1">
        <f>IF(COUNTIF(F29:H29,0)&gt;0,0,GEOMEAN(F29:H29))</f>
        <v>0.69066416242464634</v>
      </c>
    </row>
    <row r="30" spans="1:9" x14ac:dyDescent="0.35">
      <c r="A30">
        <v>29</v>
      </c>
      <c r="B30" t="s">
        <v>32</v>
      </c>
      <c r="C30" t="s">
        <v>38</v>
      </c>
      <c r="E30" s="6">
        <f>D30/3</f>
        <v>0</v>
      </c>
      <c r="F30" s="7">
        <f>1-E30</f>
        <v>1</v>
      </c>
      <c r="G30" s="1">
        <v>0.59199999999999997</v>
      </c>
      <c r="H30" s="1">
        <v>0.62804878048780499</v>
      </c>
      <c r="I30" s="1">
        <f>IF(COUNTIF(F30:H30,0)&gt;0,0,GEOMEAN(F30:H30))</f>
        <v>0.71907086815403465</v>
      </c>
    </row>
    <row r="31" spans="1:9" x14ac:dyDescent="0.35">
      <c r="A31">
        <v>30</v>
      </c>
      <c r="B31" t="s">
        <v>32</v>
      </c>
      <c r="C31" t="s">
        <v>39</v>
      </c>
      <c r="E31" s="6">
        <f>D31/3</f>
        <v>0</v>
      </c>
      <c r="F31" s="7">
        <f>1-E31</f>
        <v>1</v>
      </c>
      <c r="G31" s="1">
        <v>0.71</v>
      </c>
      <c r="H31" s="1">
        <v>0.63048780487804901</v>
      </c>
      <c r="I31" s="1">
        <f>IF(COUNTIF(F31:H31,0)&gt;0,0,GEOMEAN(F31:H31))</f>
        <v>0.76497107354329297</v>
      </c>
    </row>
    <row r="32" spans="1:9" x14ac:dyDescent="0.35">
      <c r="A32">
        <v>31</v>
      </c>
      <c r="B32" t="s">
        <v>32</v>
      </c>
      <c r="C32" t="s">
        <v>40</v>
      </c>
      <c r="E32" s="6">
        <f>D32/3</f>
        <v>0</v>
      </c>
      <c r="F32" s="7">
        <f>1-E32</f>
        <v>1</v>
      </c>
      <c r="G32" s="1">
        <v>0.60399999999999998</v>
      </c>
      <c r="H32" s="1">
        <v>0.61124694376528099</v>
      </c>
      <c r="I32" s="1">
        <f>IF(COUNTIF(F32:H32,0)&gt;0,0,GEOMEAN(F32:H32))</f>
        <v>0.71738321839860553</v>
      </c>
    </row>
    <row r="33" spans="1:9" x14ac:dyDescent="0.35">
      <c r="A33">
        <v>32</v>
      </c>
      <c r="B33" t="s">
        <v>41</v>
      </c>
      <c r="C33" t="s">
        <v>42</v>
      </c>
      <c r="E33" s="6">
        <f>D33/3</f>
        <v>0</v>
      </c>
      <c r="F33" s="7">
        <f>1-E33</f>
        <v>1</v>
      </c>
      <c r="G33" s="1">
        <v>0.70499999999999996</v>
      </c>
      <c r="H33" s="1">
        <v>0.66259168704156446</v>
      </c>
      <c r="I33" s="1">
        <f>IF(COUNTIF(F33:H33,0)&gt;0,0,GEOMEAN(F33:H33))</f>
        <v>0.77591062677685974</v>
      </c>
    </row>
    <row r="34" spans="1:9" x14ac:dyDescent="0.35">
      <c r="A34">
        <v>33</v>
      </c>
      <c r="B34" t="s">
        <v>41</v>
      </c>
      <c r="C34" t="s">
        <v>43</v>
      </c>
      <c r="E34" s="6">
        <f>D34/3</f>
        <v>0</v>
      </c>
      <c r="F34" s="7">
        <f>1-E34</f>
        <v>1</v>
      </c>
      <c r="G34" s="1">
        <v>0.53400000000000003</v>
      </c>
      <c r="H34" s="1">
        <v>0.63414634146341498</v>
      </c>
      <c r="I34" s="1">
        <f>IF(COUNTIF(F34:H34,0)&gt;0,0,GEOMEAN(F34:H34))</f>
        <v>0.69701734063709508</v>
      </c>
    </row>
    <row r="35" spans="1:9" x14ac:dyDescent="0.35">
      <c r="A35">
        <v>34</v>
      </c>
      <c r="B35" t="s">
        <v>41</v>
      </c>
      <c r="C35" t="s">
        <v>44</v>
      </c>
      <c r="E35" s="6">
        <f>D35/3</f>
        <v>0</v>
      </c>
      <c r="F35" s="7">
        <f>1-E35</f>
        <v>1</v>
      </c>
      <c r="G35" s="1">
        <v>0.57199999999999995</v>
      </c>
      <c r="H35" s="1">
        <v>0.59558823529411797</v>
      </c>
      <c r="I35" s="1">
        <f>IF(COUNTIF(F35:H35,0)&gt;0,0,GEOMEAN(F35:H35))</f>
        <v>0.6984157851135403</v>
      </c>
    </row>
    <row r="36" spans="1:9" x14ac:dyDescent="0.35">
      <c r="A36">
        <v>35</v>
      </c>
      <c r="B36" t="s">
        <v>41</v>
      </c>
      <c r="C36" t="s">
        <v>45</v>
      </c>
      <c r="E36" s="6">
        <f>D36/3</f>
        <v>0</v>
      </c>
      <c r="F36" s="7">
        <f>1-E36</f>
        <v>1</v>
      </c>
      <c r="G36" s="1">
        <v>0.628</v>
      </c>
      <c r="H36" s="1">
        <v>0.61707317073170753</v>
      </c>
      <c r="I36" s="1">
        <f>IF(COUNTIF(F36:H36,0)&gt;0,0,GEOMEAN(F36:H36))</f>
        <v>0.72906363413400488</v>
      </c>
    </row>
    <row r="37" spans="1:9" x14ac:dyDescent="0.35">
      <c r="A37">
        <v>36</v>
      </c>
      <c r="B37" t="s">
        <v>41</v>
      </c>
      <c r="C37" t="s">
        <v>46</v>
      </c>
      <c r="E37" s="6">
        <f>D37/3</f>
        <v>0</v>
      </c>
      <c r="F37" s="7">
        <f>1-E37</f>
        <v>1</v>
      </c>
      <c r="G37" s="1">
        <v>0.57399999999999995</v>
      </c>
      <c r="H37" s="1">
        <v>0.60609756097560996</v>
      </c>
      <c r="I37" s="1">
        <f>IF(COUNTIF(F37:H37,0)&gt;0,0,GEOMEAN(F37:H37))</f>
        <v>0.70331758510643339</v>
      </c>
    </row>
    <row r="38" spans="1:9" x14ac:dyDescent="0.35">
      <c r="A38">
        <v>37</v>
      </c>
      <c r="B38" t="s">
        <v>41</v>
      </c>
      <c r="C38" t="s">
        <v>47</v>
      </c>
      <c r="E38" s="6">
        <f>D38/3</f>
        <v>0</v>
      </c>
      <c r="F38" s="7">
        <f>1-E38</f>
        <v>1</v>
      </c>
      <c r="G38" s="1">
        <v>0.57799999999999996</v>
      </c>
      <c r="H38" s="1">
        <v>0.63048780487804901</v>
      </c>
      <c r="I38" s="1">
        <f>IF(COUNTIF(F38:H38,0)&gt;0,0,GEOMEAN(F38:H38))</f>
        <v>0.71427948426621934</v>
      </c>
    </row>
    <row r="39" spans="1:9" x14ac:dyDescent="0.35">
      <c r="A39">
        <v>38</v>
      </c>
      <c r="B39" t="s">
        <v>41</v>
      </c>
      <c r="C39" t="s">
        <v>48</v>
      </c>
      <c r="E39" s="6">
        <f>D39/3</f>
        <v>0</v>
      </c>
      <c r="F39" s="7">
        <f>1-E39</f>
        <v>1</v>
      </c>
      <c r="G39" s="1">
        <v>0.55700000000000005</v>
      </c>
      <c r="H39" s="1">
        <v>0.613138686131387</v>
      </c>
      <c r="I39" s="1">
        <f>IF(COUNTIF(F39:H39,0)&gt;0,0,GEOMEAN(F39:H39))</f>
        <v>0.6989905505637104</v>
      </c>
    </row>
    <row r="40" spans="1:9" x14ac:dyDescent="0.35">
      <c r="A40">
        <v>39</v>
      </c>
      <c r="B40" t="s">
        <v>41</v>
      </c>
      <c r="C40" t="s">
        <v>49</v>
      </c>
      <c r="E40" s="6">
        <f>D40/3</f>
        <v>0</v>
      </c>
      <c r="F40" s="7">
        <f>1-E40</f>
        <v>1</v>
      </c>
      <c r="G40" s="1">
        <v>0.55900000000000005</v>
      </c>
      <c r="H40" s="1">
        <v>0.60268948655256704</v>
      </c>
      <c r="I40" s="1">
        <f>IF(COUNTIF(F40:H40,0)&gt;0,0,GEOMEAN(F40:H40))</f>
        <v>0.69582785120617685</v>
      </c>
    </row>
    <row r="41" spans="1:9" x14ac:dyDescent="0.35">
      <c r="A41">
        <v>40</v>
      </c>
      <c r="B41" t="s">
        <v>41</v>
      </c>
      <c r="C41" t="s">
        <v>50</v>
      </c>
      <c r="E41" s="6">
        <f>D41/3</f>
        <v>0</v>
      </c>
      <c r="F41" s="7">
        <f>1-E41</f>
        <v>1</v>
      </c>
      <c r="G41" s="1">
        <v>0.55100000000000005</v>
      </c>
      <c r="H41" s="1">
        <v>0.57926829268292701</v>
      </c>
      <c r="I41" s="1">
        <f>IF(COUNTIF(F41:H41,0)&gt;0,0,GEOMEAN(F41:H41))</f>
        <v>0.68340337414774976</v>
      </c>
    </row>
  </sheetData>
  <autoFilter ref="A1:I41" xr:uid="{CFE48070-012D-4123-BEB0-CEAD14EBB901}">
    <sortState ref="A2:I41">
      <sortCondition ref="A1:A4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Тарасова Елена Игоревна</dc:creator>
  <cp:lastModifiedBy>Тарасова Елена Игоревна</cp:lastModifiedBy>
  <dcterms:created xsi:type="dcterms:W3CDTF">2026-05-27T13:18:45Z</dcterms:created>
  <dcterms:modified xsi:type="dcterms:W3CDTF">2026-05-27T14:05:23Z</dcterms:modified>
</cp:coreProperties>
</file>