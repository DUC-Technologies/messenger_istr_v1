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Метрики" sheetId="2" state="visible" r:id="rId2"/>
  </sheets>
  <definedNames>
    <definedName name="_xlnm._FilterDatabase" localSheetId="0" hidden="1">'Лист1'!$A$1:$I$41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13">
    <xf numFmtId="0" fontId="0" fillId="0" borderId="0" pivotButton="0" quotePrefix="0" xfId="0"/>
    <xf numFmtId="9" fontId="0" fillId="0" borderId="0" pivotButton="0" quotePrefix="0" xfId="1"/>
    <xf numFmtId="0" fontId="0" fillId="2" borderId="0" pivotButton="0" quotePrefix="0" xfId="0"/>
    <xf numFmtId="0" fontId="0" fillId="0" borderId="0" pivotButton="0" quotePrefix="0" xfId="1"/>
    <xf numFmtId="9" fontId="0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9" fontId="0" fillId="0" borderId="0" pivotButton="0" quotePrefix="0" xfId="1"/>
    <xf numFmtId="0" fontId="2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2">
    <cellStyle name="Обычный" xfId="0" builtinId="0"/>
    <cellStyle name="Процентный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workbookViewId="0">
      <selection activeCell="K14" sqref="K14"/>
    </sheetView>
  </sheetViews>
  <sheetFormatPr baseColWidth="8" defaultRowHeight="14.5"/>
  <cols>
    <col width="8.7265625" customWidth="1" style="2" min="4" max="4"/>
    <col width="8.7265625" customWidth="1" style="5" min="5" max="6"/>
  </cols>
  <sheetData>
    <row r="1">
      <c r="A1" s="10" t="inlineStr">
        <is>
          <t>№ навыка</t>
        </is>
      </c>
      <c r="B1" s="10" t="inlineStr">
        <is>
          <t>Домен</t>
        </is>
      </c>
      <c r="C1" s="10" t="inlineStr">
        <is>
          <t>Навык</t>
        </is>
      </c>
      <c r="D1" s="9" t="inlineStr">
        <is>
          <t>Уровень владения_факт</t>
        </is>
      </c>
      <c r="E1" s="10" t="inlineStr">
        <is>
          <t>Уровень владения_norm</t>
        </is>
      </c>
      <c r="F1" s="10" t="inlineStr">
        <is>
          <t>Уровень владения (отрицательное знчение - чем ниже средний уровень владения, тем, выше приоритет)</t>
        </is>
      </c>
      <c r="G1" s="10" t="inlineStr">
        <is>
          <t>Текущая востребованность (доля респондентов оценивших навык как очень востребован и скорее востребован)</t>
        </is>
      </c>
      <c r="H1" s="10" t="inlineStr">
        <is>
          <t>DSQ norm</t>
        </is>
      </c>
      <c r="I1" s="10" t="inlineStr">
        <is>
          <t>Рейтинг</t>
        </is>
      </c>
    </row>
    <row r="2">
      <c r="A2" t="n">
        <v>1</v>
      </c>
      <c r="B2" t="inlineStr">
        <is>
          <t>1. Стратегия и инновации</t>
        </is>
      </c>
      <c r="C2" t="inlineStr">
        <is>
          <t>Анализ рыночных трендов, конкурентов и изменений в отрасли</t>
        </is>
      </c>
      <c r="D2" t="n">
        <v>2</v>
      </c>
      <c r="E2" s="6">
        <f>D2/3</f>
        <v/>
      </c>
      <c r="F2" s="7">
        <f>1-E2</f>
        <v/>
      </c>
      <c r="G2" s="7" t="n">
        <v>0.607</v>
      </c>
      <c r="H2" s="7" t="n">
        <v>0.6890243902439025</v>
      </c>
      <c r="I2" s="7">
        <f>IF(COUNTIF(F2:H2,0)&gt;0,0,GEOMEAN(F2:H2))</f>
        <v/>
      </c>
      <c r="J2" s="3" t="n"/>
      <c r="K2" s="6" t="n"/>
    </row>
    <row r="3">
      <c r="A3" t="n">
        <v>2</v>
      </c>
      <c r="B3" t="inlineStr">
        <is>
          <t>1. Стратегия и инновации</t>
        </is>
      </c>
      <c r="C3" t="inlineStr">
        <is>
          <t>Стратегическое планирование и прогнозирование</t>
        </is>
      </c>
      <c r="D3" t="n">
        <v>3</v>
      </c>
      <c r="E3" s="6">
        <f>D3/3</f>
        <v/>
      </c>
      <c r="F3" s="7">
        <f>1-E3</f>
        <v/>
      </c>
      <c r="G3" s="7" t="n">
        <v>0.582</v>
      </c>
      <c r="H3" s="7" t="n">
        <v>0.6338199513381995</v>
      </c>
      <c r="I3" s="7">
        <f>IF(COUNTIF(F3:H3,0)&gt;0,0,GEOMEAN(F3:H3))</f>
        <v/>
      </c>
      <c r="J3" s="3" t="n"/>
      <c r="K3" s="6" t="n"/>
    </row>
    <row r="4">
      <c r="A4" t="n">
        <v>3</v>
      </c>
      <c r="B4" t="inlineStr">
        <is>
          <t>1. Стратегия и инновации</t>
        </is>
      </c>
      <c r="C4" t="inlineStr">
        <is>
          <t>Принятие решений в условиях неопределенности</t>
        </is>
      </c>
      <c r="D4" t="n">
        <v>1</v>
      </c>
      <c r="E4" s="6">
        <f>D4/3</f>
        <v/>
      </c>
      <c r="F4" s="7">
        <f>1-E4</f>
        <v/>
      </c>
      <c r="G4" s="7" t="n">
        <v>0.6889999999999999</v>
      </c>
      <c r="H4" s="7" t="n">
        <v>0.7109756097560975</v>
      </c>
      <c r="I4" s="7">
        <f>IF(COUNTIF(F4:H4,0)&gt;0,0,GEOMEAN(F4:H4))</f>
        <v/>
      </c>
    </row>
    <row r="5">
      <c r="A5" t="n">
        <v>4</v>
      </c>
      <c r="B5" t="inlineStr">
        <is>
          <t>1. Стратегия и инновации</t>
        </is>
      </c>
      <c r="C5" t="inlineStr">
        <is>
          <t>Использование ИИ-инструментов в управлении</t>
        </is>
      </c>
      <c r="D5" t="n">
        <v>0</v>
      </c>
      <c r="E5" s="6">
        <f>D5/3</f>
        <v/>
      </c>
      <c r="F5" s="7">
        <f>1-E5</f>
        <v/>
      </c>
      <c r="G5" s="7" t="n">
        <v>0.523</v>
      </c>
      <c r="H5" s="7" t="n">
        <v>0.7158536585365856</v>
      </c>
      <c r="I5" s="7">
        <f>IF(COUNTIF(F5:H5,0)&gt;0,0,GEOMEAN(F5:H5))</f>
        <v/>
      </c>
    </row>
    <row r="6">
      <c r="A6" t="n">
        <v>5</v>
      </c>
      <c r="B6" t="inlineStr">
        <is>
          <t>1. Стратегия и инновации</t>
        </is>
      </c>
      <c r="C6" t="inlineStr">
        <is>
          <t>Внедрение актуальных инноваций в рабочие процессы</t>
        </is>
      </c>
      <c r="D6" t="n">
        <v>2</v>
      </c>
      <c r="E6" s="6">
        <f>D6/3</f>
        <v/>
      </c>
      <c r="F6" s="7">
        <f>1-E6</f>
        <v/>
      </c>
      <c r="G6" s="7" t="n">
        <v>0.589</v>
      </c>
      <c r="H6" s="7" t="n">
        <v>0.6809290953545235</v>
      </c>
      <c r="I6" s="7">
        <f>IF(COUNTIF(F6:H6,0)&gt;0,0,GEOMEAN(F6:H6))</f>
        <v/>
      </c>
    </row>
    <row r="7">
      <c r="A7" t="n">
        <v>6</v>
      </c>
      <c r="B7" t="inlineStr">
        <is>
          <t>1. Стратегия и инновации</t>
        </is>
      </c>
      <c r="C7" t="inlineStr">
        <is>
          <t>Выстраивание процессов с учетом ИИ и кибербезопасности</t>
        </is>
      </c>
      <c r="D7" t="n">
        <v>2</v>
      </c>
      <c r="E7" s="6">
        <f>D7/3</f>
        <v/>
      </c>
      <c r="F7" s="7">
        <f>1-E7</f>
        <v/>
      </c>
      <c r="G7" s="7" t="n">
        <v>0.581</v>
      </c>
      <c r="H7" s="7" t="n">
        <v>0.7200488997555015</v>
      </c>
      <c r="I7" s="7">
        <f>IF(COUNTIF(F7:H7,0)&gt;0,0,GEOMEAN(F7:H7))</f>
        <v/>
      </c>
    </row>
    <row r="8">
      <c r="A8" t="n">
        <v>7</v>
      </c>
      <c r="B8" t="inlineStr">
        <is>
          <t>1. Стратегия и инновации</t>
        </is>
      </c>
      <c r="C8" t="inlineStr">
        <is>
          <t>Оценка потенциала и рисков инициатив</t>
        </is>
      </c>
      <c r="D8" t="n">
        <v>3</v>
      </c>
      <c r="E8" s="6">
        <f>D8/3</f>
        <v/>
      </c>
      <c r="F8" s="7">
        <f>1-E8</f>
        <v/>
      </c>
      <c r="G8" s="7" t="n">
        <v>0.65</v>
      </c>
      <c r="H8" s="7" t="n">
        <v>0.6841463414634145</v>
      </c>
      <c r="I8" s="7">
        <f>IF(COUNTIF(F8:H8,0)&gt;0,0,GEOMEAN(F8:H8))</f>
        <v/>
      </c>
    </row>
    <row r="9">
      <c r="A9" t="n">
        <v>8</v>
      </c>
      <c r="B9" t="inlineStr">
        <is>
          <t>2. Управление проектами и процессами</t>
        </is>
      </c>
      <c r="C9" t="inlineStr">
        <is>
          <t>Постановка операционных целей и КПЭ</t>
        </is>
      </c>
      <c r="D9" t="n">
        <v>3</v>
      </c>
      <c r="E9" s="6">
        <f>D9/3</f>
        <v/>
      </c>
      <c r="F9" s="7">
        <f>1-E9</f>
        <v/>
      </c>
      <c r="G9" s="7" t="n">
        <v>0.665</v>
      </c>
      <c r="H9" s="7" t="n">
        <v>0.5695121951219515</v>
      </c>
      <c r="I9" s="7">
        <f>IF(COUNTIF(F9:H9,0)&gt;0,0,GEOMEAN(F9:H9))</f>
        <v/>
      </c>
    </row>
    <row r="10">
      <c r="A10" t="n">
        <v>9</v>
      </c>
      <c r="B10" t="inlineStr">
        <is>
          <t>2. Управление проектами и процессами</t>
        </is>
      </c>
      <c r="C10" t="inlineStr">
        <is>
          <t>Расстановка приоритетов в ежедневной работе</t>
        </is>
      </c>
      <c r="D10" t="n">
        <v>3</v>
      </c>
      <c r="E10" s="6">
        <f>D10/3</f>
        <v/>
      </c>
      <c r="F10" s="7">
        <f>1-E10</f>
        <v/>
      </c>
      <c r="G10" s="7" t="n">
        <v>0.701</v>
      </c>
      <c r="H10" s="7" t="n">
        <v>0.5815085158150854</v>
      </c>
      <c r="I10" s="7">
        <f>IF(COUNTIF(F10:H10,0)&gt;0,0,GEOMEAN(F10:H10))</f>
        <v/>
      </c>
    </row>
    <row r="11">
      <c r="A11" t="n">
        <v>10</v>
      </c>
      <c r="B11" t="inlineStr">
        <is>
          <t>2. Управление проектами и процессами</t>
        </is>
      </c>
      <c r="C11" t="inlineStr">
        <is>
          <t>Управление загрузкой и временем сотрудников</t>
        </is>
      </c>
      <c r="D11" t="n">
        <v>3</v>
      </c>
      <c r="E11" s="6">
        <f>D11/3</f>
        <v/>
      </c>
      <c r="F11" s="7">
        <f>1-E11</f>
        <v/>
      </c>
      <c r="G11" s="7" t="n">
        <v>0.593</v>
      </c>
      <c r="H11" s="7" t="n">
        <v>0.6317073170731705</v>
      </c>
      <c r="I11" s="7">
        <f>IF(COUNTIF(F11:H11,0)&gt;0,0,GEOMEAN(F11:H11))</f>
        <v/>
      </c>
    </row>
    <row r="12">
      <c r="A12" t="n">
        <v>11</v>
      </c>
      <c r="B12" t="inlineStr">
        <is>
          <t>2. Управление проектами и процессами</t>
        </is>
      </c>
      <c r="C12" t="inlineStr">
        <is>
          <t>Критический анализ информации, необходимой для принятия решений</t>
        </is>
      </c>
      <c r="D12" t="n">
        <v>3</v>
      </c>
      <c r="E12" s="6">
        <f>D12/3</f>
        <v/>
      </c>
      <c r="F12" s="7">
        <f>1-E12</f>
        <v/>
      </c>
      <c r="G12" s="7" t="n">
        <v>0.6820000000000001</v>
      </c>
      <c r="H12" s="7" t="n">
        <v>0.6841463414634146</v>
      </c>
      <c r="I12" s="7">
        <f>IF(COUNTIF(F12:H12,0)&gt;0,0,GEOMEAN(F12:H12))</f>
        <v/>
      </c>
    </row>
    <row r="13">
      <c r="A13" t="n">
        <v>12</v>
      </c>
      <c r="B13" t="inlineStr">
        <is>
          <t>2. Управление проектами и процессами</t>
        </is>
      </c>
      <c r="C13" t="inlineStr">
        <is>
          <t>Улучшение и оптимизация процессов</t>
        </is>
      </c>
      <c r="D13" t="n">
        <v>3</v>
      </c>
      <c r="E13" s="6">
        <f>D13/3</f>
        <v/>
      </c>
      <c r="F13" s="7">
        <f>1-E13</f>
        <v/>
      </c>
      <c r="G13" s="7" t="n">
        <v>0.672</v>
      </c>
      <c r="H13" s="7" t="n">
        <v>0.6934306569343065</v>
      </c>
      <c r="I13" s="7">
        <f>IF(COUNTIF(F13:H13,0)&gt;0,0,GEOMEAN(F13:H13))</f>
        <v/>
      </c>
    </row>
    <row r="14">
      <c r="A14" t="n">
        <v>13</v>
      </c>
      <c r="B14" t="inlineStr">
        <is>
          <t>2. Управление проектами и процессами</t>
        </is>
      </c>
      <c r="C14" t="inlineStr">
        <is>
          <t>Генерация новых идей и решений</t>
        </is>
      </c>
      <c r="D14" t="n">
        <v>3</v>
      </c>
      <c r="E14" s="6">
        <f>D14/3</f>
        <v/>
      </c>
      <c r="F14" s="7">
        <f>1-E14</f>
        <v/>
      </c>
      <c r="G14" s="7" t="n">
        <v>0.651</v>
      </c>
      <c r="H14" s="7" t="n">
        <v>0.635036496350365</v>
      </c>
      <c r="I14" s="7">
        <f>IF(COUNTIF(F14:H14,0)&gt;0,0,GEOMEAN(F14:H14))</f>
        <v/>
      </c>
    </row>
    <row r="15">
      <c r="A15" t="n">
        <v>14</v>
      </c>
      <c r="B15" t="inlineStr">
        <is>
          <t>2. Управление проектами и процессами</t>
        </is>
      </c>
      <c r="C15" t="inlineStr">
        <is>
          <t>Эффективный контроль исполнения задач</t>
        </is>
      </c>
      <c r="D15" t="n">
        <v>0</v>
      </c>
      <c r="E15" s="6">
        <f>D15/3</f>
        <v/>
      </c>
      <c r="F15" s="7">
        <f>1-E15</f>
        <v/>
      </c>
      <c r="G15" s="7" t="n">
        <v>0.6889999999999999</v>
      </c>
      <c r="H15" s="7" t="n">
        <v>0.5658536585365855</v>
      </c>
      <c r="I15" s="7">
        <f>IF(COUNTIF(F15:H15,0)&gt;0,0,GEOMEAN(F15:H15))</f>
        <v/>
      </c>
    </row>
    <row r="16">
      <c r="A16" t="n">
        <v>15</v>
      </c>
      <c r="B16" t="inlineStr">
        <is>
          <t>2. Управление проектами и процессами</t>
        </is>
      </c>
      <c r="C16" t="inlineStr">
        <is>
          <t>Интеграция ИИ-агентов в рабочие процессы</t>
        </is>
      </c>
      <c r="D16" t="n">
        <v>1</v>
      </c>
      <c r="E16" s="6">
        <f>D16/3</f>
        <v/>
      </c>
      <c r="F16" s="7">
        <f>1-E16</f>
        <v/>
      </c>
      <c r="G16" s="7" t="n">
        <v>0.556</v>
      </c>
      <c r="H16" s="7" t="n">
        <v>0.734146341463415</v>
      </c>
      <c r="I16" s="7">
        <f>IF(COUNTIF(F16:H16,0)&gt;0,0,GEOMEAN(F16:H16))</f>
        <v/>
      </c>
    </row>
    <row r="17">
      <c r="A17" t="n">
        <v>16</v>
      </c>
      <c r="B17" t="inlineStr">
        <is>
          <t>3. Личная эффективность</t>
        </is>
      </c>
      <c r="C17" t="inlineStr">
        <is>
          <t>Планирование собственной нагрузки и времени</t>
        </is>
      </c>
      <c r="D17" t="n">
        <v>1</v>
      </c>
      <c r="E17" s="6">
        <f>D17/3</f>
        <v/>
      </c>
      <c r="F17" s="7">
        <f>1-E17</f>
        <v/>
      </c>
      <c r="G17" s="7" t="n">
        <v>0.606</v>
      </c>
      <c r="H17" s="7" t="n">
        <v>0.608536585365854</v>
      </c>
      <c r="I17" s="7">
        <f>IF(COUNTIF(F17:H17,0)&gt;0,0,GEOMEAN(F17:H17))</f>
        <v/>
      </c>
    </row>
    <row r="18">
      <c r="A18" t="n">
        <v>17</v>
      </c>
      <c r="B18" t="inlineStr">
        <is>
          <t>3. Личная эффективность</t>
        </is>
      </c>
      <c r="C18" t="inlineStr">
        <is>
          <t>Управление собственным эмоциональным состоянием</t>
        </is>
      </c>
      <c r="D18" t="n">
        <v>1</v>
      </c>
      <c r="E18" s="6">
        <f>D18/3</f>
        <v/>
      </c>
      <c r="F18" s="7">
        <f>1-E18</f>
        <v/>
      </c>
      <c r="G18" s="7" t="n">
        <v>0.541</v>
      </c>
      <c r="H18" s="7" t="n">
        <v>0.6213235294117645</v>
      </c>
      <c r="I18" s="7">
        <f>IF(COUNTIF(F18:H18,0)&gt;0,0,GEOMEAN(F18:H18))</f>
        <v/>
      </c>
    </row>
    <row r="19">
      <c r="A19" t="n">
        <v>18</v>
      </c>
      <c r="B19" t="inlineStr">
        <is>
          <t>3. Личная эффективность</t>
        </is>
      </c>
      <c r="C19" t="inlineStr">
        <is>
          <t>Управление концентрацией и фокусировкой</t>
        </is>
      </c>
      <c r="D19" t="n">
        <v>1</v>
      </c>
      <c r="E19" s="6">
        <f>D19/3</f>
        <v/>
      </c>
      <c r="F19" s="7">
        <f>1-E19</f>
        <v/>
      </c>
      <c r="G19" s="7" t="n">
        <v>0.5629999999999999</v>
      </c>
      <c r="H19" s="7" t="n">
        <v>0.562043795620438</v>
      </c>
      <c r="I19" s="7">
        <f>IF(COUNTIF(F19:H19,0)&gt;0,0,GEOMEAN(F19:H19))</f>
        <v/>
      </c>
    </row>
    <row r="20">
      <c r="A20" t="n">
        <v>19</v>
      </c>
      <c r="B20" t="inlineStr">
        <is>
          <t>3. Личная эффективность</t>
        </is>
      </c>
      <c r="C20" t="inlineStr">
        <is>
          <t>Оперативная коррекция поведения в ответ на изменения</t>
        </is>
      </c>
      <c r="D20" t="n">
        <v>2</v>
      </c>
      <c r="E20" s="6">
        <f>D20/3</f>
        <v/>
      </c>
      <c r="F20" s="7">
        <f>1-E20</f>
        <v/>
      </c>
      <c r="G20" s="7" t="n">
        <v>0.655</v>
      </c>
      <c r="H20" s="7" t="n">
        <v>0.6748166259168704</v>
      </c>
      <c r="I20" s="7">
        <f>IF(COUNTIF(F20:H20,0)&gt;0,0,GEOMEAN(F20:H20))</f>
        <v/>
      </c>
    </row>
    <row r="21">
      <c r="A21" t="n">
        <v>20</v>
      </c>
      <c r="B21" t="inlineStr">
        <is>
          <t>3. Личная эффективность</t>
        </is>
      </c>
      <c r="C21" t="inlineStr">
        <is>
          <t>Регулярное развитие собственных знаний и компетенций</t>
        </is>
      </c>
      <c r="D21" t="n">
        <v>2</v>
      </c>
      <c r="E21" s="6">
        <f>D21/3</f>
        <v/>
      </c>
      <c r="F21" s="7">
        <f>1-E21</f>
        <v/>
      </c>
      <c r="G21" s="7" t="n">
        <v>0.64</v>
      </c>
      <c r="H21" s="7" t="n">
        <v>0.6605392156862745</v>
      </c>
      <c r="I21" s="7">
        <f>IF(COUNTIF(F21:H21,0)&gt;0,0,GEOMEAN(F21:H21))</f>
        <v/>
      </c>
    </row>
    <row r="22">
      <c r="A22" t="n">
        <v>21</v>
      </c>
      <c r="B22" t="inlineStr">
        <is>
          <t>3. Личная эффективность</t>
        </is>
      </c>
      <c r="C22" t="inlineStr">
        <is>
          <t>Самодисциплина</t>
        </is>
      </c>
      <c r="D22" t="n">
        <v>3</v>
      </c>
      <c r="E22" s="6">
        <f>D22/3</f>
        <v/>
      </c>
      <c r="F22" s="7">
        <f>1-E22</f>
        <v/>
      </c>
      <c r="G22" s="7" t="n">
        <v>0.632</v>
      </c>
      <c r="H22" s="7" t="n">
        <v>0.5644768856447691</v>
      </c>
      <c r="I22" s="7">
        <f>IF(COUNTIF(F22:H22,0)&gt;0,0,GEOMEAN(F22:H22))</f>
        <v/>
      </c>
    </row>
    <row r="23">
      <c r="A23" t="n">
        <v>22</v>
      </c>
      <c r="B23" t="inlineStr">
        <is>
          <t>3. Личная эффективность</t>
        </is>
      </c>
      <c r="C23" t="inlineStr">
        <is>
          <t>Использование ИИ/LLM в рабочих задачах</t>
        </is>
      </c>
      <c r="D23" t="n">
        <v>2</v>
      </c>
      <c r="E23" s="6">
        <f>D23/3</f>
        <v/>
      </c>
      <c r="F23" s="7">
        <f>1-E23</f>
        <v/>
      </c>
      <c r="G23" s="7" t="n">
        <v>0.582</v>
      </c>
      <c r="H23" s="7" t="n">
        <v>0.7031630170316305</v>
      </c>
      <c r="I23" s="7">
        <f>IF(COUNTIF(F23:H23,0)&gt;0,0,GEOMEAN(F23:H23))</f>
        <v/>
      </c>
    </row>
    <row r="24">
      <c r="A24" t="n">
        <v>23</v>
      </c>
      <c r="B24" t="inlineStr">
        <is>
          <t>3. Личная эффективность</t>
        </is>
      </c>
      <c r="C24" t="inlineStr">
        <is>
          <t>Организация информации, данных и знаний</t>
        </is>
      </c>
      <c r="D24" t="n">
        <v>2</v>
      </c>
      <c r="E24" s="6">
        <f>D24/3</f>
        <v/>
      </c>
      <c r="F24" s="7">
        <f>1-E24</f>
        <v/>
      </c>
      <c r="G24" s="7" t="n">
        <v>0.653</v>
      </c>
      <c r="H24" s="7" t="n">
        <v>0.6939024390243905</v>
      </c>
      <c r="I24" s="7">
        <f>IF(COUNTIF(F24:H24,0)&gt;0,0,GEOMEAN(F24:H24))</f>
        <v/>
      </c>
    </row>
    <row r="25">
      <c r="A25" t="n">
        <v>24</v>
      </c>
      <c r="B25" t="inlineStr">
        <is>
          <t>4. Взаимодействие</t>
        </is>
      </c>
      <c r="C25" t="inlineStr">
        <is>
          <t>Создание и развитие сети профессиональных контактов</t>
        </is>
      </c>
      <c r="D25" t="n">
        <v>1</v>
      </c>
      <c r="E25" s="6">
        <f>D25/3</f>
        <v/>
      </c>
      <c r="F25" s="7">
        <f>1-E25</f>
        <v/>
      </c>
      <c r="G25" s="7" t="n">
        <v>0.667</v>
      </c>
      <c r="H25" s="7" t="n">
        <v>0.6207317073170731</v>
      </c>
      <c r="I25" s="7">
        <f>IF(COUNTIF(F25:H25,0)&gt;0,0,GEOMEAN(F25:H25))</f>
        <v/>
      </c>
    </row>
    <row r="26">
      <c r="A26" t="n">
        <v>25</v>
      </c>
      <c r="B26" t="inlineStr">
        <is>
          <t>4. Взаимодействие</t>
        </is>
      </c>
      <c r="C26" t="inlineStr">
        <is>
          <t>Принятие решений с учетом ожиданий и интересов другой стороны</t>
        </is>
      </c>
      <c r="D26" t="n">
        <v>1</v>
      </c>
      <c r="E26" s="6">
        <f>D26/3</f>
        <v/>
      </c>
      <c r="F26" s="7">
        <f>1-E26</f>
        <v/>
      </c>
      <c r="G26" s="7" t="n">
        <v>0.589</v>
      </c>
      <c r="H26" s="7" t="n">
        <v>0.6014669926650364</v>
      </c>
      <c r="I26" s="7">
        <f>IF(COUNTIF(F26:H26,0)&gt;0,0,GEOMEAN(F26:H26))</f>
        <v/>
      </c>
    </row>
    <row r="27">
      <c r="A27" t="n">
        <v>26</v>
      </c>
      <c r="B27" t="inlineStr">
        <is>
          <t>4. Взаимодействие</t>
        </is>
      </c>
      <c r="C27" t="inlineStr">
        <is>
          <t>Убеждение и аргументация своей позиции</t>
        </is>
      </c>
      <c r="D27" t="n">
        <v>1</v>
      </c>
      <c r="E27" s="6">
        <f>D27/3</f>
        <v/>
      </c>
      <c r="F27" s="7">
        <f>1-E27</f>
        <v/>
      </c>
      <c r="G27" s="7" t="n">
        <v>0.658</v>
      </c>
      <c r="H27" s="7" t="n">
        <v>0.6075794621026895</v>
      </c>
      <c r="I27" s="7">
        <f>IF(COUNTIF(F27:H27,0)&gt;0,0,GEOMEAN(F27:H27))</f>
        <v/>
      </c>
    </row>
    <row r="28">
      <c r="A28" t="n">
        <v>27</v>
      </c>
      <c r="B28" t="inlineStr">
        <is>
          <t>4. Взаимодействие</t>
        </is>
      </c>
      <c r="C28" t="inlineStr">
        <is>
          <t>Конструктивная обратная связь</t>
        </is>
      </c>
      <c r="D28" t="n">
        <v>1</v>
      </c>
      <c r="E28" s="6">
        <f>D28/3</f>
        <v/>
      </c>
      <c r="F28" s="7">
        <f>1-E28</f>
        <v/>
      </c>
      <c r="G28" s="7" t="n">
        <v>0.575</v>
      </c>
      <c r="H28" s="7" t="n">
        <v>0.6090686274509804</v>
      </c>
      <c r="I28" s="7">
        <f>IF(COUNTIF(F28:H28,0)&gt;0,0,GEOMEAN(F28:H28))</f>
        <v/>
      </c>
    </row>
    <row r="29">
      <c r="A29" t="n">
        <v>28</v>
      </c>
      <c r="B29" t="inlineStr">
        <is>
          <t>4. Взаимодействие</t>
        </is>
      </c>
      <c r="C29" t="inlineStr">
        <is>
          <t>Эмоциональная поддержка коллег и подчиненных</t>
        </is>
      </c>
      <c r="D29" t="n">
        <v>1</v>
      </c>
      <c r="E29" s="6">
        <f>D29/3</f>
        <v/>
      </c>
      <c r="F29" s="7">
        <f>1-E29</f>
        <v/>
      </c>
      <c r="G29" s="7" t="n">
        <v>0.5639999999999999</v>
      </c>
      <c r="H29" s="7" t="n">
        <v>0.5841463414634145</v>
      </c>
      <c r="I29" s="7">
        <f>IF(COUNTIF(F29:H29,0)&gt;0,0,GEOMEAN(F29:H29))</f>
        <v/>
      </c>
    </row>
    <row r="30">
      <c r="A30" t="n">
        <v>29</v>
      </c>
      <c r="B30" t="inlineStr">
        <is>
          <t>4. Взаимодействие</t>
        </is>
      </c>
      <c r="C30" t="inlineStr">
        <is>
          <t>Уважительная и конструктивная коммуникация</t>
        </is>
      </c>
      <c r="D30" t="n">
        <v>2</v>
      </c>
      <c r="E30" s="6">
        <f>D30/3</f>
        <v/>
      </c>
      <c r="F30" s="7">
        <f>1-E30</f>
        <v/>
      </c>
      <c r="G30" s="7" t="n">
        <v>0.592</v>
      </c>
      <c r="H30" s="7" t="n">
        <v>0.628048780487805</v>
      </c>
      <c r="I30" s="7">
        <f>IF(COUNTIF(F30:H30,0)&gt;0,0,GEOMEAN(F30:H30))</f>
        <v/>
      </c>
    </row>
    <row r="31">
      <c r="A31" t="n">
        <v>30</v>
      </c>
      <c r="B31" t="inlineStr">
        <is>
          <t>4. Взаимодействие</t>
        </is>
      </c>
      <c r="C31" t="inlineStr">
        <is>
          <t>Понятная презентация идей, планов и результатов</t>
        </is>
      </c>
      <c r="D31" t="n">
        <v>0</v>
      </c>
      <c r="E31" s="6">
        <f>D31/3</f>
        <v/>
      </c>
      <c r="F31" s="7">
        <f>1-E31</f>
        <v/>
      </c>
      <c r="G31" s="7" t="n">
        <v>0.71</v>
      </c>
      <c r="H31" s="7" t="n">
        <v>0.630487804878049</v>
      </c>
      <c r="I31" s="7">
        <f>IF(COUNTIF(F31:H31,0)&gt;0,0,GEOMEAN(F31:H31))</f>
        <v/>
      </c>
    </row>
    <row r="32">
      <c r="A32" t="n">
        <v>31</v>
      </c>
      <c r="B32" t="inlineStr">
        <is>
          <t>4. Взаимодействие</t>
        </is>
      </c>
      <c r="C32" t="inlineStr">
        <is>
          <t>Эффективное урегулирование конфликтов</t>
        </is>
      </c>
      <c r="D32" t="n">
        <v>1</v>
      </c>
      <c r="E32" s="6">
        <f>D32/3</f>
        <v/>
      </c>
      <c r="F32" s="7">
        <f>1-E32</f>
        <v/>
      </c>
      <c r="G32" s="7" t="n">
        <v>0.604</v>
      </c>
      <c r="H32" s="7" t="n">
        <v>0.611246943765281</v>
      </c>
      <c r="I32" s="7">
        <f>IF(COUNTIF(F32:H32,0)&gt;0,0,GEOMEAN(F32:H32))</f>
        <v/>
      </c>
    </row>
    <row r="33">
      <c r="A33" t="n">
        <v>32</v>
      </c>
      <c r="B33" t="inlineStr">
        <is>
          <t>5. Работа с командой</t>
        </is>
      </c>
      <c r="C33" t="inlineStr">
        <is>
          <t>Выбор и привлечение сильных кандидатов в команду</t>
        </is>
      </c>
      <c r="D33" t="n">
        <v>1</v>
      </c>
      <c r="E33" s="6">
        <f>D33/3</f>
        <v/>
      </c>
      <c r="F33" s="7">
        <f>1-E33</f>
        <v/>
      </c>
      <c r="G33" s="7" t="n">
        <v>0.705</v>
      </c>
      <c r="H33" s="7" t="n">
        <v>0.6625916870415645</v>
      </c>
      <c r="I33" s="7">
        <f>IF(COUNTIF(F33:H33,0)&gt;0,0,GEOMEAN(F33:H33))</f>
        <v/>
      </c>
    </row>
    <row r="34">
      <c r="A34" t="n">
        <v>33</v>
      </c>
      <c r="B34" t="inlineStr">
        <is>
          <t>5. Работа с командой</t>
        </is>
      </c>
      <c r="C34" t="inlineStr">
        <is>
          <t>Выявление индивидуальных мотиваций сотрудников</t>
        </is>
      </c>
      <c r="D34" t="n">
        <v>2</v>
      </c>
      <c r="E34" s="6">
        <f>D34/3</f>
        <v/>
      </c>
      <c r="F34" s="7">
        <f>1-E34</f>
        <v/>
      </c>
      <c r="G34" s="7" t="n">
        <v>0.534</v>
      </c>
      <c r="H34" s="7" t="n">
        <v>0.634146341463415</v>
      </c>
      <c r="I34" s="7">
        <f>IF(COUNTIF(F34:H34,0)&gt;0,0,GEOMEAN(F34:H34))</f>
        <v/>
      </c>
    </row>
    <row r="35">
      <c r="A35" t="n">
        <v>34</v>
      </c>
      <c r="B35" t="inlineStr">
        <is>
          <t>5. Работа с командой</t>
        </is>
      </c>
      <c r="C35" t="inlineStr">
        <is>
          <t>Выявление сильных и слабых сторон сотрудников</t>
        </is>
      </c>
      <c r="D35" t="n">
        <v>3</v>
      </c>
      <c r="E35" s="6">
        <f>D35/3</f>
        <v/>
      </c>
      <c r="F35" s="7">
        <f>1-E35</f>
        <v/>
      </c>
      <c r="G35" s="7" t="n">
        <v>0.572</v>
      </c>
      <c r="H35" s="7" t="n">
        <v>0.595588235294118</v>
      </c>
      <c r="I35" s="7">
        <f>IF(COUNTIF(F35:H35,0)&gt;0,0,GEOMEAN(F35:H35))</f>
        <v/>
      </c>
    </row>
    <row r="36">
      <c r="A36" t="n">
        <v>35</v>
      </c>
      <c r="B36" t="inlineStr">
        <is>
          <t>5. Работа с командой</t>
        </is>
      </c>
      <c r="C36" t="inlineStr">
        <is>
          <t>Распределение ролей и зон ответственности в команде</t>
        </is>
      </c>
      <c r="D36" t="n">
        <v>1</v>
      </c>
      <c r="E36" s="6">
        <f>D36/3</f>
        <v/>
      </c>
      <c r="F36" s="7">
        <f>1-E36</f>
        <v/>
      </c>
      <c r="G36" s="7" t="n">
        <v>0.628</v>
      </c>
      <c r="H36" s="7" t="n">
        <v>0.6170731707317075</v>
      </c>
      <c r="I36" s="7">
        <f>IF(COUNTIF(F36:H36,0)&gt;0,0,GEOMEAN(F36:H36))</f>
        <v/>
      </c>
    </row>
    <row r="37">
      <c r="A37" t="n">
        <v>36</v>
      </c>
      <c r="B37" t="inlineStr">
        <is>
          <t>5. Работа с командой</t>
        </is>
      </c>
      <c r="C37" t="inlineStr">
        <is>
          <t>Выявление высокопотенциальных сотрудников</t>
        </is>
      </c>
      <c r="D37" t="n">
        <v>2</v>
      </c>
      <c r="E37" s="6">
        <f>D37/3</f>
        <v/>
      </c>
      <c r="F37" s="7">
        <f>1-E37</f>
        <v/>
      </c>
      <c r="G37" s="7" t="n">
        <v>0.574</v>
      </c>
      <c r="H37" s="7" t="n">
        <v>0.60609756097561</v>
      </c>
      <c r="I37" s="7">
        <f>IF(COUNTIF(F37:H37,0)&gt;0,0,GEOMEAN(F37:H37))</f>
        <v/>
      </c>
    </row>
    <row r="38">
      <c r="A38" t="n">
        <v>37</v>
      </c>
      <c r="B38" t="inlineStr">
        <is>
          <t>5. Работа с командой</t>
        </is>
      </c>
      <c r="C38" t="inlineStr">
        <is>
          <t>Встраивание обучения в рабочие процессы</t>
        </is>
      </c>
      <c r="D38" t="n">
        <v>2</v>
      </c>
      <c r="E38" s="6">
        <f>D38/3</f>
        <v/>
      </c>
      <c r="F38" s="7">
        <f>1-E38</f>
        <v/>
      </c>
      <c r="G38" s="7" t="n">
        <v>0.578</v>
      </c>
      <c r="H38" s="7" t="n">
        <v>0.630487804878049</v>
      </c>
      <c r="I38" s="7">
        <f>IF(COUNTIF(F38:H38,0)&gt;0,0,GEOMEAN(F38:H38))</f>
        <v/>
      </c>
    </row>
    <row r="39">
      <c r="A39" t="n">
        <v>38</v>
      </c>
      <c r="B39" t="inlineStr">
        <is>
          <t>5. Работа с командой</t>
        </is>
      </c>
      <c r="C39" t="inlineStr">
        <is>
          <t>Наставничество и рекомендации по развитию</t>
        </is>
      </c>
      <c r="D39" t="n">
        <v>0</v>
      </c>
      <c r="E39" s="6">
        <f>D39/3</f>
        <v/>
      </c>
      <c r="F39" s="7">
        <f>1-E39</f>
        <v/>
      </c>
      <c r="G39" s="7" t="n">
        <v>0.5570000000000001</v>
      </c>
      <c r="H39" s="7" t="n">
        <v>0.613138686131387</v>
      </c>
      <c r="I39" s="7">
        <f>IF(COUNTIF(F39:H39,0)&gt;0,0,GEOMEAN(F39:H39))</f>
        <v/>
      </c>
    </row>
    <row r="40">
      <c r="A40" t="n">
        <v>39</v>
      </c>
      <c r="B40" t="inlineStr">
        <is>
          <t>5. Работа с командой</t>
        </is>
      </c>
      <c r="C40" t="inlineStr">
        <is>
          <t>Своевременное информирование сотрудников и передача контекста</t>
        </is>
      </c>
      <c r="D40" t="n">
        <v>1</v>
      </c>
      <c r="E40" s="6">
        <f>D40/3</f>
        <v/>
      </c>
      <c r="F40" s="7">
        <f>1-E40</f>
        <v/>
      </c>
      <c r="G40" s="7" t="n">
        <v>0.5590000000000001</v>
      </c>
      <c r="H40" s="7" t="n">
        <v>0.602689486552567</v>
      </c>
      <c r="I40" s="7">
        <f>IF(COUNTIF(F40:H40,0)&gt;0,0,GEOMEAN(F40:H40))</f>
        <v/>
      </c>
    </row>
    <row r="41">
      <c r="A41" t="n">
        <v>40</v>
      </c>
      <c r="B41" t="inlineStr">
        <is>
          <t>5. Работа с командой</t>
        </is>
      </c>
      <c r="C41" t="inlineStr">
        <is>
          <t>Эффективное и этичное увольнение сотрудников</t>
        </is>
      </c>
      <c r="D41" t="n">
        <v>3</v>
      </c>
      <c r="E41" s="6">
        <f>D41/3</f>
        <v/>
      </c>
      <c r="F41" s="7">
        <f>1-E41</f>
        <v/>
      </c>
      <c r="G41" s="7" t="n">
        <v>0.551</v>
      </c>
      <c r="H41" s="7" t="n">
        <v>0.579268292682927</v>
      </c>
      <c r="I41" s="7">
        <f>IF(COUNTIF(F41:H41,0)&gt;0,0,GEOMEAN(F41:H41))</f>
        <v/>
      </c>
    </row>
  </sheetData>
  <autoFilter ref="A1:I41">
    <sortState ref="A2:I41">
      <sortCondition ref="A1:A41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style="5" min="1" max="1"/>
    <col width="16" customWidth="1" style="5" min="2" max="2"/>
    <col width="34" customWidth="1" style="5" min="3" max="3"/>
    <col width="78" customWidth="1" style="5" min="4" max="4"/>
    <col width="12" customWidth="1" style="5" min="5" max="5"/>
    <col width="14" customWidth="1" style="5" min="6" max="6"/>
  </cols>
  <sheetData>
    <row r="1">
      <c r="A1" t="inlineStr">
        <is>
          <t>Итоговый средний результат</t>
        </is>
      </c>
      <c r="B1" s="11" t="n">
        <v>1.725</v>
      </c>
    </row>
    <row r="3">
      <c r="A3" t="inlineStr">
        <is>
          <t>Средние по доменам</t>
        </is>
      </c>
    </row>
    <row r="4">
      <c r="A4" t="inlineStr">
        <is>
          <t>Домен</t>
        </is>
      </c>
      <c r="B4" t="inlineStr">
        <is>
          <t>Средний ответ</t>
        </is>
      </c>
    </row>
    <row r="5">
      <c r="A5" t="inlineStr">
        <is>
          <t>1. Стратегия и инновации</t>
        </is>
      </c>
      <c r="B5" s="11" t="n">
        <v>1.857142857142857</v>
      </c>
    </row>
    <row r="6">
      <c r="A6" t="inlineStr">
        <is>
          <t>2. Управление проектами и процессами</t>
        </is>
      </c>
      <c r="B6" s="11" t="n">
        <v>2.375</v>
      </c>
    </row>
    <row r="7">
      <c r="A7" t="inlineStr">
        <is>
          <t>3. Личная эффективность</t>
        </is>
      </c>
      <c r="B7" s="11" t="n">
        <v>1.75</v>
      </c>
    </row>
    <row r="8">
      <c r="A8" t="inlineStr">
        <is>
          <t>4. Взаимодействие</t>
        </is>
      </c>
      <c r="B8" s="11" t="n">
        <v>1</v>
      </c>
    </row>
    <row r="9">
      <c r="A9" t="inlineStr">
        <is>
          <t>5. Работа с командой</t>
        </is>
      </c>
      <c r="B9" s="11" t="n">
        <v>1.666666666666667</v>
      </c>
    </row>
    <row r="12">
      <c r="A12" t="inlineStr">
        <is>
          <t>Top-5 по рейтингу из столбца I (только строки из JSON)</t>
        </is>
      </c>
    </row>
    <row r="13">
      <c r="A13" t="inlineStr">
        <is>
          <t>Ранг</t>
        </is>
      </c>
      <c r="B13" t="inlineStr">
        <is>
          <t>№ навыка</t>
        </is>
      </c>
      <c r="C13" t="inlineStr">
        <is>
          <t>Домен</t>
        </is>
      </c>
      <c r="D13" t="inlineStr">
        <is>
          <t>Навык</t>
        </is>
      </c>
      <c r="E13" t="inlineStr">
        <is>
          <t>Ответ D</t>
        </is>
      </c>
      <c r="F13" t="inlineStr">
        <is>
          <t>Рейтинг I</t>
        </is>
      </c>
    </row>
    <row r="14">
      <c r="A14" t="n">
        <v>1</v>
      </c>
      <c r="B14" t="n">
        <v>30</v>
      </c>
      <c r="C14" t="inlineStr">
        <is>
          <t>4. Взаимодействие</t>
        </is>
      </c>
      <c r="D14" t="inlineStr">
        <is>
          <t>Понятная презентация идей, планов и результатов</t>
        </is>
      </c>
      <c r="E14" t="n">
        <v>0</v>
      </c>
      <c r="F14" s="12" t="n">
        <v>0.764971073543293</v>
      </c>
    </row>
    <row r="15">
      <c r="A15" t="n">
        <v>2</v>
      </c>
      <c r="B15" t="n">
        <v>14</v>
      </c>
      <c r="C15" t="inlineStr">
        <is>
          <t>2. Управление проектами и процессами</t>
        </is>
      </c>
      <c r="D15" t="inlineStr">
        <is>
          <t>Эффективный контроль исполнения задач</t>
        </is>
      </c>
      <c r="E15" t="n">
        <v>0</v>
      </c>
      <c r="F15" s="12" t="n">
        <v>0.7305351494310928</v>
      </c>
    </row>
    <row r="16">
      <c r="A16" t="n">
        <v>3</v>
      </c>
      <c r="B16" t="n">
        <v>4</v>
      </c>
      <c r="C16" t="inlineStr">
        <is>
          <t>1. Стратегия и инновации</t>
        </is>
      </c>
      <c r="D16" t="inlineStr">
        <is>
          <t>Использование ИИ-инструментов в управлении</t>
        </is>
      </c>
      <c r="E16" t="n">
        <v>0</v>
      </c>
      <c r="F16" s="12" t="n">
        <v>0.7207345021300646</v>
      </c>
    </row>
    <row r="17">
      <c r="A17" t="n">
        <v>4</v>
      </c>
      <c r="B17" t="n">
        <v>38</v>
      </c>
      <c r="C17" t="inlineStr">
        <is>
          <t>5. Работа с командой</t>
        </is>
      </c>
      <c r="D17" t="inlineStr">
        <is>
          <t>Наставничество и рекомендации по развитию</t>
        </is>
      </c>
      <c r="E17" t="n">
        <v>0</v>
      </c>
      <c r="F17" s="12" t="n">
        <v>0.6989905505637105</v>
      </c>
    </row>
    <row r="18">
      <c r="A18" t="n">
        <v>5</v>
      </c>
      <c r="B18" t="n">
        <v>3</v>
      </c>
      <c r="C18" t="inlineStr">
        <is>
          <t>1. Стратегия и инновации</t>
        </is>
      </c>
      <c r="D18" t="inlineStr">
        <is>
          <t>Принятие решений в условиях неопределенности</t>
        </is>
      </c>
      <c r="E18" t="n">
        <v>1</v>
      </c>
      <c r="F18" s="12" t="n">
        <v>0.6886431339347824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Тарасова Елена Игоревна</dc:creator>
  <dcterms:created xmlns:dcterms="http://purl.org/dc/terms/" xmlns:xsi="http://www.w3.org/2001/XMLSchema-instance" xsi:type="dcterms:W3CDTF">2026-05-27T13:18:45Z</dcterms:created>
  <dcterms:modified xmlns:dcterms="http://purl.org/dc/terms/" xmlns:xsi="http://www.w3.org/2001/XMLSchema-instance" xsi:type="dcterms:W3CDTF">2026-06-09T11:11:42Z</dcterms:modified>
  <cp:lastModifiedBy>Тарасова Елена Игоревна</cp:lastModifiedBy>
</cp:coreProperties>
</file>